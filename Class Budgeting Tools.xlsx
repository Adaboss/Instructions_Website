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<sst xmlns="http://schemas.openxmlformats.org/spreadsheetml/2006/main" count="48" uniqueCount="43">
  <si>
    <t>Item Description</t>
  </si>
  <si>
    <t>Needs (Cost)</t>
  </si>
  <si>
    <t>Wants (Cost)</t>
  </si>
  <si>
    <t>Savings (Cost)</t>
  </si>
  <si>
    <t>Category Total</t>
  </si>
  <si>
    <t>Percentage of Budget</t>
  </si>
  <si>
    <t>Target Percentage (50/30/20)</t>
  </si>
  <si>
    <t>Status</t>
  </si>
  <si>
    <t>**Monthly Budget**</t>
  </si>
  <si>
    <t>Rent/Mortgage</t>
  </si>
  <si>
    <t>Groceries</t>
  </si>
  <si>
    <t>Utilities</t>
  </si>
  <si>
    <t>Health Premium</t>
  </si>
  <si>
    <t>Transportation</t>
  </si>
  <si>
    <t>Dining Out</t>
  </si>
  <si>
    <t>Entertainment</t>
  </si>
  <si>
    <t>Shopping</t>
  </si>
  <si>
    <t>Travel Fund</t>
  </si>
  <si>
    <t>Personal Spending</t>
  </si>
  <si>
    <t>Emergency Fund</t>
  </si>
  <si>
    <t>Investments</t>
  </si>
  <si>
    <t>**Total Expenses**</t>
  </si>
  <si>
    <t>**$2,700.00**</t>
  </si>
  <si>
    <t>**$1,000.00**</t>
  </si>
  <si>
    <t>**$1,300.00**</t>
  </si>
  <si>
    <t>**% of Budget**</t>
  </si>
  <si>
    <t>**Target % (50/30/20)**</t>
  </si>
  <si>
    <t>**Status**</t>
  </si>
  <si>
    <t xml:space="preserve">Needs </t>
  </si>
  <si>
    <t>Cost of Needs</t>
  </si>
  <si>
    <t>Wants</t>
  </si>
  <si>
    <t>Cost of Wants</t>
  </si>
  <si>
    <t>Monthly Allowance</t>
  </si>
  <si>
    <t>Rent</t>
  </si>
  <si>
    <t>Games</t>
  </si>
  <si>
    <t>Car Insurance</t>
  </si>
  <si>
    <t>Subscriptions</t>
  </si>
  <si>
    <t>Gas</t>
  </si>
  <si>
    <t>Totals:</t>
  </si>
  <si>
    <t>Needs</t>
  </si>
  <si>
    <t xml:space="preserve">Savings </t>
  </si>
  <si>
    <t>Percentages:</t>
  </si>
  <si>
    <t>Savings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</si>
</sst>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0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1"/>
    </xf>
    <xf borderId="0" fillId="0" fontId="1" numFmtId="10" xfId="0" applyAlignment="1" applyFont="1" applyNumberFormat="1">
      <alignment shrinkToFit="0" vertical="center" wrapText="1"/>
    </xf>
    <xf borderId="0" fillId="0" fontId="1" numFmtId="9" xfId="0" applyAlignment="1" applyFont="1" applyNumberFormat="1">
      <alignment shrinkToFit="0" vertical="center" wrapText="1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2" fontId="1" numFmtId="165" xfId="0" applyFont="1" applyNumberFormat="1"/>
    <xf borderId="0" fillId="2" fontId="2" numFmtId="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H21:O38" displayName="Table2" name="Table2" id="1">
  <tableColumns count="8">
    <tableColumn name="Item Description" id="1"/>
    <tableColumn name="Needs (Cost)" id="2"/>
    <tableColumn name="Wants (Cost)" id="3"/>
    <tableColumn name="Savings (Cost)" id="4"/>
    <tableColumn name="Category Total" id="5"/>
    <tableColumn name="Percentage of Budget" id="6"/>
    <tableColumn name="Target Percentage (50/30/20)" id="7"/>
    <tableColumn name="Statu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6.75"/>
    <col customWidth="1" min="3" max="3" width="15.75"/>
    <col customWidth="1" min="4" max="4" width="15.5"/>
    <col customWidth="1" min="5" max="5" width="34.13"/>
    <col customWidth="1" min="6" max="6" width="13.5"/>
    <col customWidth="1" min="8" max="14" width="19.0"/>
    <col customWidth="1" min="15" max="15" width="13.5"/>
  </cols>
  <sheetData>
    <row r="1">
      <c r="A1" s="1"/>
      <c r="B1" s="1"/>
      <c r="C1" s="1"/>
      <c r="D1" s="1"/>
    </row>
    <row r="2">
      <c r="A2" s="1"/>
      <c r="B2" s="1"/>
      <c r="C2" s="1"/>
      <c r="D2" s="1"/>
    </row>
    <row r="3">
      <c r="A3" s="1"/>
      <c r="B3" s="1"/>
      <c r="C3" s="1"/>
      <c r="D3" s="1"/>
    </row>
    <row r="4">
      <c r="A4" s="1"/>
      <c r="B4" s="1"/>
      <c r="C4" s="1"/>
      <c r="D4" s="1"/>
    </row>
    <row r="5">
      <c r="A5" s="1"/>
      <c r="B5" s="1"/>
      <c r="C5" s="1"/>
      <c r="D5" s="1"/>
    </row>
    <row r="6">
      <c r="A6" s="1"/>
      <c r="B6" s="1"/>
      <c r="C6" s="1"/>
      <c r="D6" s="1"/>
    </row>
    <row r="7">
      <c r="A7" s="1"/>
      <c r="B7" s="1"/>
      <c r="C7" s="1"/>
      <c r="D7" s="1"/>
    </row>
    <row r="8">
      <c r="A8" s="1"/>
      <c r="B8" s="1"/>
      <c r="C8" s="1"/>
      <c r="D8" s="1"/>
    </row>
    <row r="9">
      <c r="A9" s="1"/>
      <c r="B9" s="1"/>
      <c r="C9" s="1"/>
      <c r="D9" s="1"/>
    </row>
    <row r="10">
      <c r="A10" s="1"/>
      <c r="B10" s="1"/>
      <c r="C10" s="1"/>
      <c r="D10" s="1"/>
    </row>
    <row r="11">
      <c r="A11" s="1"/>
      <c r="B11" s="1"/>
      <c r="C11" s="1"/>
      <c r="D11" s="1"/>
    </row>
    <row r="12">
      <c r="A12" s="1"/>
      <c r="B12" s="1"/>
      <c r="C12" s="1"/>
      <c r="D12" s="1"/>
    </row>
    <row r="13">
      <c r="A13" s="1"/>
      <c r="B13" s="1"/>
      <c r="C13" s="1"/>
      <c r="D13" s="1"/>
    </row>
    <row r="14">
      <c r="A14" s="1"/>
      <c r="B14" s="1"/>
      <c r="C14" s="1"/>
      <c r="D14" s="1"/>
    </row>
    <row r="15">
      <c r="A15" s="1"/>
      <c r="B15" s="1"/>
      <c r="C15" s="1"/>
      <c r="D15" s="1"/>
    </row>
    <row r="16">
      <c r="A16" s="1"/>
      <c r="B16" s="1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1" ht="22.5" customHeight="1">
      <c r="H21" s="2" t="s">
        <v>0</v>
      </c>
      <c r="I21" s="2" t="s">
        <v>1</v>
      </c>
      <c r="J21" s="2" t="s">
        <v>2</v>
      </c>
      <c r="K21" s="2" t="s">
        <v>3</v>
      </c>
      <c r="L21" s="2" t="s">
        <v>4</v>
      </c>
      <c r="M21" s="2" t="s">
        <v>5</v>
      </c>
      <c r="N21" s="2" t="s">
        <v>6</v>
      </c>
      <c r="O21" s="3" t="s">
        <v>7</v>
      </c>
    </row>
    <row r="22" ht="22.5" customHeight="1">
      <c r="H22" s="4" t="s">
        <v>8</v>
      </c>
      <c r="I22" s="4"/>
      <c r="J22" s="4"/>
      <c r="K22" s="4"/>
      <c r="L22" s="5">
        <v>5000.0</v>
      </c>
      <c r="M22" s="6">
        <v>1.0</v>
      </c>
      <c r="N22" s="6">
        <v>1.0</v>
      </c>
      <c r="O22" s="7" t="b">
        <v>1</v>
      </c>
    </row>
    <row r="23" ht="22.5" customHeight="1">
      <c r="H23" s="4" t="s">
        <v>9</v>
      </c>
      <c r="I23" s="8">
        <v>1800.0</v>
      </c>
      <c r="J23" s="4"/>
      <c r="K23" s="4"/>
      <c r="L23" s="5">
        <v>1800.0</v>
      </c>
      <c r="M23" s="6">
        <v>0.36</v>
      </c>
      <c r="N23" s="4"/>
      <c r="O23" s="7"/>
    </row>
    <row r="24" ht="22.5" customHeight="1">
      <c r="H24" s="4" t="s">
        <v>10</v>
      </c>
      <c r="I24" s="8">
        <v>500.0</v>
      </c>
      <c r="J24" s="4"/>
      <c r="K24" s="4"/>
      <c r="L24" s="5">
        <v>500.0</v>
      </c>
      <c r="M24" s="6">
        <v>0.1</v>
      </c>
      <c r="N24" s="4"/>
      <c r="O24" s="7"/>
    </row>
    <row r="25" ht="22.5" customHeight="1">
      <c r="H25" s="4" t="s">
        <v>11</v>
      </c>
      <c r="I25" s="8">
        <v>200.0</v>
      </c>
      <c r="J25" s="4"/>
      <c r="K25" s="4"/>
      <c r="L25" s="5">
        <v>200.0</v>
      </c>
      <c r="M25" s="6">
        <v>0.04</v>
      </c>
      <c r="N25" s="4"/>
      <c r="O25" s="7"/>
    </row>
    <row r="26" ht="22.5" customHeight="1">
      <c r="H26" s="4" t="s">
        <v>12</v>
      </c>
      <c r="I26" s="8">
        <v>50.0</v>
      </c>
      <c r="J26" s="4"/>
      <c r="K26" s="4"/>
      <c r="L26" s="5">
        <v>50.0</v>
      </c>
      <c r="M26" s="6">
        <v>0.01</v>
      </c>
      <c r="N26" s="4"/>
      <c r="O26" s="7"/>
    </row>
    <row r="27" ht="22.5" customHeight="1">
      <c r="H27" s="4" t="s">
        <v>13</v>
      </c>
      <c r="I27" s="8">
        <v>150.0</v>
      </c>
      <c r="J27" s="4"/>
      <c r="K27" s="4"/>
      <c r="L27" s="5">
        <v>150.0</v>
      </c>
      <c r="M27" s="6">
        <v>0.03</v>
      </c>
      <c r="N27" s="4"/>
      <c r="O27" s="7"/>
    </row>
    <row r="28" ht="22.5" customHeight="1">
      <c r="H28" s="4" t="s">
        <v>14</v>
      </c>
      <c r="I28" s="4"/>
      <c r="J28" s="8">
        <v>200.0</v>
      </c>
      <c r="K28" s="4"/>
      <c r="L28" s="5">
        <v>200.0</v>
      </c>
      <c r="M28" s="6">
        <v>0.04</v>
      </c>
      <c r="N28" s="4"/>
      <c r="O28" s="7"/>
    </row>
    <row r="29" ht="22.5" customHeight="1">
      <c r="H29" s="4" t="s">
        <v>15</v>
      </c>
      <c r="I29" s="4"/>
      <c r="J29" s="8">
        <v>100.0</v>
      </c>
      <c r="K29" s="4"/>
      <c r="L29" s="5">
        <v>100.0</v>
      </c>
      <c r="M29" s="6">
        <v>0.02</v>
      </c>
      <c r="N29" s="4"/>
      <c r="O29" s="7"/>
    </row>
    <row r="30" ht="22.5" customHeight="1">
      <c r="H30" s="4" t="s">
        <v>16</v>
      </c>
      <c r="I30" s="4"/>
      <c r="J30" s="8">
        <v>150.0</v>
      </c>
      <c r="K30" s="4"/>
      <c r="L30" s="5">
        <v>150.0</v>
      </c>
      <c r="M30" s="6">
        <v>0.03</v>
      </c>
      <c r="N30" s="4"/>
      <c r="O30" s="7"/>
    </row>
    <row r="31" ht="22.5" customHeight="1">
      <c r="H31" s="4" t="s">
        <v>17</v>
      </c>
      <c r="I31" s="4"/>
      <c r="J31" s="8">
        <v>500.0</v>
      </c>
      <c r="K31" s="4"/>
      <c r="L31" s="5">
        <v>500.0</v>
      </c>
      <c r="M31" s="6">
        <v>0.1</v>
      </c>
      <c r="N31" s="4"/>
      <c r="O31" s="7"/>
    </row>
    <row r="32" ht="22.5" customHeight="1">
      <c r="H32" s="4" t="s">
        <v>18</v>
      </c>
      <c r="I32" s="4"/>
      <c r="J32" s="8">
        <v>50.0</v>
      </c>
      <c r="K32" s="4"/>
      <c r="L32" s="5">
        <v>50.0</v>
      </c>
      <c r="M32" s="6">
        <v>0.01</v>
      </c>
      <c r="N32" s="4"/>
      <c r="O32" s="7"/>
    </row>
    <row r="33" ht="22.5" customHeight="1">
      <c r="H33" s="4" t="s">
        <v>19</v>
      </c>
      <c r="I33" s="4"/>
      <c r="J33" s="4"/>
      <c r="K33" s="8">
        <v>800.0</v>
      </c>
      <c r="L33" s="5">
        <v>800.0</v>
      </c>
      <c r="M33" s="6">
        <v>0.16</v>
      </c>
      <c r="N33" s="4"/>
      <c r="O33" s="7"/>
    </row>
    <row r="34" ht="22.5" customHeight="1">
      <c r="H34" s="4" t="s">
        <v>20</v>
      </c>
      <c r="I34" s="4"/>
      <c r="J34" s="4"/>
      <c r="K34" s="8">
        <v>500.0</v>
      </c>
      <c r="L34" s="5">
        <v>500.0</v>
      </c>
      <c r="M34" s="6">
        <v>0.1</v>
      </c>
      <c r="N34" s="4"/>
      <c r="O34" s="7"/>
    </row>
    <row r="35" ht="22.5" customHeight="1">
      <c r="H35" s="4" t="s">
        <v>21</v>
      </c>
      <c r="I35" s="4" t="s">
        <v>22</v>
      </c>
      <c r="J35" s="4" t="s">
        <v>23</v>
      </c>
      <c r="K35" s="4" t="s">
        <v>24</v>
      </c>
      <c r="L35" s="5">
        <v>5000.0</v>
      </c>
      <c r="M35" s="6">
        <v>1.0</v>
      </c>
      <c r="N35" s="6">
        <v>1.0</v>
      </c>
      <c r="O35" s="7" t="b">
        <v>1</v>
      </c>
    </row>
    <row r="36" ht="22.5" customHeight="1">
      <c r="H36" s="4" t="s">
        <v>25</v>
      </c>
      <c r="I36" s="9">
        <v>0.54</v>
      </c>
      <c r="J36" s="9">
        <v>0.2</v>
      </c>
      <c r="K36" s="9">
        <v>0.26</v>
      </c>
      <c r="L36" s="4"/>
      <c r="M36" s="4"/>
      <c r="N36" s="4"/>
      <c r="O36" s="7"/>
    </row>
    <row r="37" ht="22.5" customHeight="1">
      <c r="H37" s="4" t="s">
        <v>26</v>
      </c>
      <c r="I37" s="10">
        <v>0.5</v>
      </c>
      <c r="J37" s="10">
        <v>0.3</v>
      </c>
      <c r="K37" s="10">
        <v>0.2</v>
      </c>
      <c r="L37" s="4"/>
      <c r="M37" s="4"/>
      <c r="N37" s="4"/>
      <c r="O37" s="7"/>
    </row>
    <row r="38" ht="22.5" customHeight="1">
      <c r="H38" s="4" t="s">
        <v>27</v>
      </c>
      <c r="I38" s="4" t="b">
        <v>0</v>
      </c>
      <c r="J38" s="4" t="b">
        <v>1</v>
      </c>
      <c r="K38" s="4" t="b">
        <v>0</v>
      </c>
      <c r="L38" s="4"/>
      <c r="M38" s="4"/>
      <c r="N38" s="4"/>
      <c r="O38" s="7"/>
    </row>
  </sheetData>
  <dataValidations>
    <dataValidation type="custom" allowBlank="1" showDropDown="1" sqref="L22:N38">
      <formula1>AND(ISNUMBER(L22),(NOT(OR(NOT(ISERROR(DATEVALUE(L22))), AND(ISNUMBER(L22), LEFT(CELL("format", L22))="D")))))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12" t="s">
        <v>28</v>
      </c>
      <c r="C1" s="12" t="s">
        <v>29</v>
      </c>
      <c r="D1" s="12" t="s">
        <v>30</v>
      </c>
      <c r="E1" s="12" t="s">
        <v>31</v>
      </c>
      <c r="F1" s="12" t="s">
        <v>32</v>
      </c>
      <c r="G1" s="11"/>
    </row>
    <row r="2">
      <c r="A2" s="11"/>
      <c r="B2" s="13" t="s">
        <v>33</v>
      </c>
      <c r="C2" s="14">
        <v>510.0</v>
      </c>
      <c r="D2" s="13" t="s">
        <v>16</v>
      </c>
      <c r="E2" s="14">
        <v>150.0</v>
      </c>
      <c r="F2" s="14">
        <v>1500.0</v>
      </c>
      <c r="G2" s="11"/>
    </row>
    <row r="3">
      <c r="A3" s="11"/>
      <c r="B3" s="13" t="s">
        <v>10</v>
      </c>
      <c r="C3" s="14">
        <v>300.0</v>
      </c>
      <c r="D3" s="13" t="s">
        <v>34</v>
      </c>
      <c r="E3" s="14">
        <v>100.0</v>
      </c>
      <c r="G3" s="11"/>
    </row>
    <row r="4">
      <c r="A4" s="11"/>
      <c r="B4" s="13" t="s">
        <v>35</v>
      </c>
      <c r="C4" s="14">
        <v>100.0</v>
      </c>
      <c r="D4" s="13" t="s">
        <v>36</v>
      </c>
      <c r="E4" s="14">
        <v>25.0</v>
      </c>
      <c r="G4" s="11"/>
    </row>
    <row r="5">
      <c r="A5" s="11"/>
      <c r="B5" s="13" t="s">
        <v>37</v>
      </c>
      <c r="C5" s="14">
        <v>40.0</v>
      </c>
      <c r="G5" s="11"/>
    </row>
    <row r="6">
      <c r="A6" s="11"/>
      <c r="G6" s="11"/>
    </row>
    <row r="7">
      <c r="A7" s="11"/>
      <c r="G7" s="11"/>
    </row>
    <row r="8">
      <c r="A8" s="11"/>
      <c r="G8" s="11"/>
    </row>
    <row r="9">
      <c r="A9" s="11"/>
      <c r="G9" s="11"/>
    </row>
    <row r="10">
      <c r="A10" s="11"/>
      <c r="G10" s="11"/>
    </row>
    <row r="11">
      <c r="A11" s="12" t="s">
        <v>38</v>
      </c>
      <c r="B11" s="12" t="s">
        <v>39</v>
      </c>
      <c r="C11" s="15">
        <f>SUM(C2:C10)</f>
        <v>950</v>
      </c>
      <c r="D11" s="12" t="s">
        <v>30</v>
      </c>
      <c r="E11" s="15">
        <f>SUM(E2:E10)</f>
        <v>275</v>
      </c>
      <c r="F11" s="12" t="s">
        <v>40</v>
      </c>
      <c r="G11" s="15">
        <f>F2-C11-E11</f>
        <v>275</v>
      </c>
    </row>
    <row r="12">
      <c r="A12" s="11"/>
      <c r="G12" s="11"/>
    </row>
    <row r="13">
      <c r="A13" s="12" t="s">
        <v>41</v>
      </c>
      <c r="B13" s="12" t="s">
        <v>39</v>
      </c>
      <c r="C13" s="16">
        <f>IFERROR(__xludf.DUMMYFUNCTION("TO_PERCENT(C11/F2)"),0.6333333333333333)</f>
        <v>0.6333333333</v>
      </c>
      <c r="D13" s="12" t="s">
        <v>30</v>
      </c>
      <c r="E13" s="16">
        <f>IFERROR(__xludf.DUMMYFUNCTION("TO_PERCENT(E11/F2)"),0.18333333333333332)</f>
        <v>0.1833333333</v>
      </c>
      <c r="F13" s="12" t="s">
        <v>42</v>
      </c>
      <c r="G13" s="16">
        <f>IFERROR(__xludf.DUMMYFUNCTION("TO_PERCENT(G11/F2)"),0.18333333333333332)</f>
        <v>0.1833333333</v>
      </c>
    </row>
  </sheetData>
  <drawing r:id="rId1"/>
</worksheet>
</file>