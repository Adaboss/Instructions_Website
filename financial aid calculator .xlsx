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<sst xmlns="http://schemas.openxmlformats.org/spreadsheetml/2006/main" count="25" uniqueCount="25">
  <si>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ESTIMATE</t>
  </si>
  <si>
    <t>Costs</t>
  </si>
  <si>
    <t>Grants and Aid</t>
  </si>
  <si>
    <t>REFUND</t>
  </si>
  <si>
    <t>EXPECTED COST MONTHLY</t>
  </si>
  <si>
    <t>Expected Free Money?</t>
  </si>
  <si>
    <t>Tuition</t>
  </si>
  <si>
    <t>University Grant</t>
  </si>
  <si>
    <t>RENT</t>
  </si>
  <si>
    <t>ECS Fee</t>
  </si>
  <si>
    <t>FDUL</t>
  </si>
  <si>
    <t>FOOD</t>
  </si>
  <si>
    <t>Activity Fee</t>
  </si>
  <si>
    <t>FDSL</t>
  </si>
  <si>
    <t xml:space="preserve">GAS </t>
  </si>
  <si>
    <t>Health Fee</t>
  </si>
  <si>
    <t>NYS TAP</t>
  </si>
  <si>
    <t>UTILITIES</t>
  </si>
  <si>
    <t>Communcation Fee</t>
  </si>
  <si>
    <t>PELL Grant</t>
  </si>
  <si>
    <t>USAA</t>
  </si>
  <si>
    <t>Federal SEOG</t>
  </si>
  <si>
    <t>ANNUALLY</t>
  </si>
  <si>
    <t>SEMESTER</t>
  </si>
  <si>
    <t>MONTHLY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</si>
</sst>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1"/>
      <c r="B2" s="1" t="s">
        <v>1</v>
      </c>
      <c r="C2" s="1"/>
      <c r="D2" s="1" t="s">
        <v>2</v>
      </c>
      <c r="E2" s="1" t="s">
        <v>3</v>
      </c>
      <c r="F2" s="1"/>
      <c r="G2" s="1" t="s">
        <v>4</v>
      </c>
      <c r="H2" s="1" t="s">
        <v>5</v>
      </c>
    </row>
    <row r="3">
      <c r="A3" s="1" t="s">
        <v>6</v>
      </c>
      <c r="B3" s="2">
        <v>66580.0</v>
      </c>
      <c r="C3" s="1" t="s">
        <v>7</v>
      </c>
      <c r="D3" s="3">
        <v>61980.0</v>
      </c>
      <c r="E3" s="1"/>
      <c r="F3" s="1" t="s">
        <v>8</v>
      </c>
      <c r="G3" s="3">
        <v>510.0</v>
      </c>
      <c r="H3" s="1"/>
    </row>
    <row r="4">
      <c r="A4" s="1" t="s">
        <v>9</v>
      </c>
      <c r="B4" s="3">
        <v>800.0</v>
      </c>
      <c r="C4" s="1" t="s">
        <v>10</v>
      </c>
      <c r="D4" s="3">
        <v>2000.0</v>
      </c>
      <c r="E4" s="1"/>
      <c r="F4" s="1" t="s">
        <v>11</v>
      </c>
      <c r="G4" s="3">
        <v>300.0</v>
      </c>
      <c r="H4" s="1"/>
    </row>
    <row r="5">
      <c r="A5" s="1" t="s">
        <v>12</v>
      </c>
      <c r="B5" s="3">
        <f>IFERROR(__xludf.DUMMYFUNCTION("TO_DOLLARS(219*2)"),438.0)</f>
        <v>438</v>
      </c>
      <c r="C5" s="1" t="s">
        <v>13</v>
      </c>
      <c r="D5" s="3">
        <v>5500.0</v>
      </c>
      <c r="E5" s="1"/>
      <c r="F5" s="1" t="s">
        <v>14</v>
      </c>
      <c r="G5" s="3">
        <v>25.0</v>
      </c>
      <c r="H5" s="1"/>
    </row>
    <row r="6">
      <c r="A6" s="1" t="s">
        <v>15</v>
      </c>
      <c r="B6" s="3">
        <f>IFERROR(__xludf.DUMMYFUNCTION("TO_DOLLARS(445*2)"),890.0)</f>
        <v>890</v>
      </c>
      <c r="C6" s="1" t="s">
        <v>16</v>
      </c>
      <c r="D6" s="3">
        <v>2996.0</v>
      </c>
      <c r="E6" s="1"/>
      <c r="F6" s="1" t="s">
        <v>17</v>
      </c>
      <c r="G6" s="3">
        <v>70.0</v>
      </c>
      <c r="H6" s="1"/>
    </row>
    <row r="7">
      <c r="A7" s="1" t="s">
        <v>18</v>
      </c>
      <c r="B7" s="3">
        <v>560.0</v>
      </c>
      <c r="C7" s="1" t="s">
        <v>19</v>
      </c>
      <c r="D7" s="3">
        <v>7395.0</v>
      </c>
      <c r="E7" s="1"/>
      <c r="F7" s="1" t="s">
        <v>20</v>
      </c>
      <c r="G7" s="3">
        <v>100.0</v>
      </c>
      <c r="H7" s="1"/>
    </row>
    <row r="8">
      <c r="A8" s="1"/>
      <c r="B8" s="1"/>
      <c r="C8" s="1" t="s">
        <v>21</v>
      </c>
      <c r="D8" s="3">
        <v>1500.0</v>
      </c>
      <c r="E8" s="1"/>
      <c r="F8" s="1"/>
      <c r="G8" s="4"/>
      <c r="H8" s="1"/>
    </row>
    <row r="9">
      <c r="A9" s="1"/>
      <c r="B9" s="1"/>
      <c r="C9" s="1"/>
      <c r="D9" s="4"/>
      <c r="E9" s="1"/>
      <c r="F9" s="1"/>
      <c r="G9" s="1"/>
      <c r="H9" s="1"/>
    </row>
    <row r="10">
      <c r="A10" s="1" t="s">
        <v>22</v>
      </c>
      <c r="B10" s="2">
        <f>SUM(B3:B7)</f>
        <v>69268</v>
      </c>
      <c r="C10" s="1"/>
      <c r="D10" s="3">
        <f>SUM(D3:D8)</f>
        <v>81371</v>
      </c>
      <c r="E10" s="3">
        <f>D10-B10</f>
        <v>12103</v>
      </c>
      <c r="F10" s="1"/>
      <c r="G10" s="3">
        <f>G12*2</f>
        <v>8040</v>
      </c>
      <c r="H10" s="3">
        <f>E10-G10</f>
        <v>4063</v>
      </c>
    </row>
    <row r="11">
      <c r="A11" s="1"/>
      <c r="B11" s="1"/>
      <c r="C11" s="1"/>
      <c r="D11" s="1"/>
      <c r="E11" s="1"/>
      <c r="F11" s="1"/>
      <c r="G11" s="1"/>
      <c r="H11" s="1"/>
    </row>
    <row r="12">
      <c r="A12" s="1" t="s">
        <v>23</v>
      </c>
      <c r="B12" s="2">
        <f>B10/2</f>
        <v>34634</v>
      </c>
      <c r="C12" s="1"/>
      <c r="D12" s="3">
        <f>D10/2</f>
        <v>40685.5</v>
      </c>
      <c r="E12" s="3">
        <f>D12-B12</f>
        <v>6051.5</v>
      </c>
      <c r="F12" s="1"/>
      <c r="G12" s="3">
        <f>G14*4</f>
        <v>4020</v>
      </c>
      <c r="H12" s="3">
        <f>E12-G12</f>
        <v>2031.5</v>
      </c>
    </row>
    <row r="13">
      <c r="A13" s="1"/>
      <c r="B13" s="1"/>
      <c r="C13" s="1"/>
      <c r="D13" s="1"/>
      <c r="E13" s="1"/>
      <c r="F13" s="1"/>
      <c r="G13" s="1"/>
      <c r="H13" s="1"/>
    </row>
    <row r="14">
      <c r="A14" s="1" t="s">
        <v>24</v>
      </c>
      <c r="B14" s="2">
        <f>B12/4</f>
        <v>8658.5</v>
      </c>
      <c r="C14" s="1"/>
      <c r="D14" s="3">
        <f>D12/4</f>
        <v>10171.375</v>
      </c>
      <c r="E14" s="3">
        <f>D14-B14</f>
        <v>1512.875</v>
      </c>
      <c r="F14" s="1"/>
      <c r="G14" s="3">
        <f>SUM(G3:G8)</f>
        <v>1005</v>
      </c>
      <c r="H14" s="3">
        <f>E14-G14</f>
        <v>507.875</v>
      </c>
    </row>
    <row r="15">
      <c r="A15" s="1"/>
      <c r="B15" s="1"/>
      <c r="C15" s="1"/>
      <c r="D15" s="1"/>
      <c r="E15" s="1"/>
      <c r="F15" s="1"/>
      <c r="G15" s="1"/>
      <c r="H15" s="1"/>
    </row>
  </sheetData>
  <drawing r:id="rId1"/>
</worksheet>
</file>